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One-sample n" sheetId="2" state="visible" r:id="rId2"/>
    <sheet xmlns:r="http://schemas.openxmlformats.org/officeDocument/2006/relationships" name="2 Power at n" sheetId="3" state="visible" r:id="rId3"/>
    <sheet xmlns:r="http://schemas.openxmlformats.org/officeDocument/2006/relationships" name="3 Two-sample unequal" sheetId="4" state="visible" r:id="rId4"/>
    <sheet xmlns:r="http://schemas.openxmlformats.org/officeDocument/2006/relationships" name="4 Two-sample equal" sheetId="5" state="visible" r:id="rId5"/>
    <sheet xmlns:r="http://schemas.openxmlformats.org/officeDocument/2006/relationships" name="5 Paired" sheetId="6" state="visible" r:id="rId6"/>
    <sheet xmlns:r="http://schemas.openxmlformats.org/officeDocument/2006/relationships" name="6 Rho sweep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95959"/>
      <sz val="11"/>
    </font>
    <font>
      <name val="Calibri"/>
      <b val="1"/>
      <color rgb="001F4E79"/>
      <sz val="11"/>
    </font>
    <font>
      <name val="Calibri"/>
      <sz val="11"/>
    </font>
    <font>
      <name val="Consolas"/>
      <color rgb="00595959"/>
      <sz val="10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onsolas"/>
      <b val="1"/>
      <color rgb="002E75B6"/>
      <sz val="11"/>
    </font>
    <font>
      <name val="Consolas"/>
      <color rgb="001F2937"/>
      <sz val="11"/>
    </font>
    <font>
      <name val="Consolas"/>
      <b val="1"/>
      <color rgb="00B85C22"/>
      <sz val="12"/>
    </font>
  </fonts>
  <fills count="5">
    <fill>
      <patternFill/>
    </fill>
    <fill>
      <patternFill patternType="gray125"/>
    </fill>
    <fill>
      <patternFill patternType="solid">
        <fgColor rgb="00E7EEF5"/>
      </patternFill>
    </fill>
    <fill>
      <patternFill patternType="solid">
        <fgColor rgb="00EAF2FB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8C6D4"/>
      </left>
      <right style="thin">
        <color rgb="00B8C6D4"/>
      </right>
      <top style="thin">
        <color rgb="00B8C6D4"/>
      </top>
      <bottom style="thin">
        <color rgb="00B8C6D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8" fillId="3" borderId="1" applyAlignment="1" pivotButton="0" quotePrefix="0" xfId="0">
      <alignment horizontal="right"/>
    </xf>
    <xf numFmtId="2" fontId="8" fillId="3" borderId="1" applyAlignment="1" pivotButton="0" quotePrefix="0" xfId="0">
      <alignment horizontal="right"/>
    </xf>
    <xf numFmtId="164" fontId="9" fillId="0" borderId="0" pivotButton="0" quotePrefix="0" xfId="0"/>
    <xf numFmtId="164" fontId="10" fillId="4" borderId="1" applyAlignment="1" pivotButton="0" quotePrefix="0" xfId="0">
      <alignment horizontal="right"/>
    </xf>
    <xf numFmtId="1" fontId="10" fillId="4" borderId="1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1" fontId="9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166" fontId="8" fillId="3" borderId="1" applyAlignment="1" pivotButton="0" quotePrefix="0" xfId="0">
      <alignment horizontal="right"/>
    </xf>
    <xf numFmtId="1" fontId="1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16" customWidth="1" min="3" max="3"/>
    <col width="52" customWidth="1" min="4" max="4"/>
  </cols>
  <sheetData>
    <row r="1"/>
    <row r="2">
      <c r="B2" s="1" t="inlineStr">
        <is>
          <t>Sample-Size and Power Calculator</t>
        </is>
      </c>
    </row>
    <row r="3">
      <c r="B3" s="2" t="inlineStr">
        <is>
          <t>Modern Biostatistics for the Health Sciences, Volume I  —  Chapter 11, Section 11.6</t>
        </is>
      </c>
    </row>
    <row r="4"/>
    <row r="5"/>
    <row r="6">
      <c r="B6" s="3" t="inlineStr">
        <is>
          <t>WHAT THIS IS</t>
        </is>
      </c>
    </row>
    <row r="7">
      <c r="B7" s="4" t="inlineStr">
        <is>
          <t>Five sample-size and power calculations for t-test designs, worked entirely in worksheet</t>
        </is>
      </c>
    </row>
    <row r="8">
      <c r="B8" s="4" t="inlineStr">
        <is>
          <t>formulas. The same five appear in R, SAS, SPSS, and Python in this folder, and all five</t>
        </is>
      </c>
    </row>
    <row r="9">
      <c r="B9" s="4" t="inlineStr">
        <is>
          <t>languages give the same answers.</t>
        </is>
      </c>
    </row>
    <row r="10"/>
    <row r="11">
      <c r="B11" s="3" t="inlineStr">
        <is>
          <t>HOW TO USE IT</t>
        </is>
      </c>
    </row>
    <row r="12">
      <c r="B12" s="4" t="inlineStr">
        <is>
          <t>Each numbered sheet is one calculation. Change the values in the blue boxes; everything</t>
        </is>
      </c>
    </row>
    <row r="13">
      <c r="B13" s="4" t="inlineStr">
        <is>
          <t>below them recomputes. There are no macros, so nothing needs to be enabled, and the file</t>
        </is>
      </c>
    </row>
    <row r="14">
      <c r="B14" s="4" t="inlineStr">
        <is>
          <t>works in Excel, LibreOffice Calc, Google Sheets, and Numbers.</t>
        </is>
      </c>
    </row>
    <row r="15"/>
    <row r="16">
      <c r="B16" s="3" t="inlineStr">
        <is>
          <t>THE ONE THING EXCEL CANNOT DO</t>
        </is>
      </c>
    </row>
    <row r="17">
      <c r="B17" s="4" t="inlineStr">
        <is>
          <t>Power calculations need the NONCENTRAL t distribution. Excel has no function for it.</t>
        </is>
      </c>
    </row>
    <row r="18">
      <c r="B18" s="4" t="inlineStr">
        <is>
          <t>R, SAS, SPSS, and Python all do. So these sheets use a standard approximation: they</t>
        </is>
      </c>
    </row>
    <row r="19">
      <c r="B19" s="4" t="inlineStr">
        <is>
          <t>replace the noncentral t with an ordinary t shifted sideways, and they chase the answer</t>
        </is>
      </c>
    </row>
    <row r="20">
      <c r="B20" s="4" t="inlineStr">
        <is>
          <t>through six refinement rows because the degrees of freedom depend on the sample size and</t>
        </is>
      </c>
    </row>
    <row r="21">
      <c r="B21" s="4" t="inlineStr">
        <is>
          <t>the sample size depends on the degrees of freedom.</t>
        </is>
      </c>
    </row>
    <row r="22"/>
    <row r="23">
      <c r="B23" s="4" t="inlineStr">
        <is>
          <t>The approximation is off by about one hundredth of a participant and one ten-thousandth</t>
        </is>
      </c>
    </row>
    <row r="24">
      <c r="B24" s="4" t="inlineStr">
        <is>
          <t>of a unit of power. In all five designs here it rounds to exactly the same number of</t>
        </is>
      </c>
    </row>
    <row r="25">
      <c r="B25" s="4" t="inlineStr">
        <is>
          <t>people as the exact calculation. The 'Summary' sheet shows both side by side.</t>
        </is>
      </c>
    </row>
    <row r="26"/>
    <row r="27">
      <c r="B27" s="4" t="inlineStr">
        <is>
          <t>That is worth knowing in itself: the third decimal place of a power calculation is not</t>
        </is>
      </c>
    </row>
    <row r="28">
      <c r="B28" s="4" t="inlineStr">
        <is>
          <t>where the risk in a study design lives. The assumed effect size is.</t>
        </is>
      </c>
    </row>
    <row r="29"/>
    <row r="30">
      <c r="B30" s="3" t="inlineStr">
        <is>
          <t>WHEN NOT TO USE THIS SHEET</t>
        </is>
      </c>
    </row>
    <row r="31">
      <c r="B31" s="4" t="inlineStr">
        <is>
          <t>For a number that goes into a grant application, a protocol, or an IRB submission, use</t>
        </is>
      </c>
    </row>
    <row r="32">
      <c r="B32" s="4" t="inlineStr">
        <is>
          <t>R, SAS, SPSS, or Python and record the exact inputs. Use this workbook to understand</t>
        </is>
      </c>
    </row>
    <row r="33">
      <c r="B33" s="4" t="inlineStr">
        <is>
          <t>what those programs are doing, to sanity-check a number somebody hands you, and to see</t>
        </is>
      </c>
    </row>
    <row r="34">
      <c r="B34" s="4" t="inlineStr">
        <is>
          <t>instantly how the answer moves when an assumption changes.</t>
        </is>
      </c>
    </row>
    <row r="35"/>
    <row r="36">
      <c r="B36" s="3" t="inlineStr">
        <is>
          <t>FUNCTIONS USED</t>
        </is>
      </c>
    </row>
    <row r="37">
      <c r="B37" s="5" t="inlineStr">
        <is>
          <t>T.INV.2T(alpha, df)     the two-tailed critical value of t</t>
        </is>
      </c>
    </row>
    <row r="38">
      <c r="B38" s="5" t="inlineStr">
        <is>
          <t>T.INV(p, df)            the t value with left-tail area p</t>
        </is>
      </c>
    </row>
    <row r="39">
      <c r="B39" s="5" t="inlineStr">
        <is>
          <t>T.DIST(x, df, TRUE)     the left-tail area below x</t>
        </is>
      </c>
    </row>
    <row r="40">
      <c r="B40" s="5" t="inlineStr">
        <is>
          <t>NORM.S.INV(p)           the standard normal quantile (starting value)</t>
        </is>
      </c>
    </row>
    <row r="41"/>
    <row r="42">
      <c r="B42" s="4" t="inlineStr">
        <is>
          <t>In LibreOffice and Google Sheets these have the same names. In Excel 2007 and earlier</t>
        </is>
      </c>
    </row>
    <row r="43">
      <c r="B43" s="4" t="inlineStr">
        <is>
          <t>they were TINV, TDIST, and NORMSINV, which take their arguments differently.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52" customWidth="1" min="4" max="4"/>
  </cols>
  <sheetData>
    <row r="1"/>
    <row r="2">
      <c r="B2" s="6" t="inlineStr">
        <is>
          <t>1.  One-sample t test — how many participants?</t>
        </is>
      </c>
    </row>
    <row r="3">
      <c r="B3" s="7" t="inlineStr">
        <is>
          <t>Detect a 5-unit shift from the null value when the standard deviation is 25.</t>
        </is>
      </c>
    </row>
    <row r="4"/>
    <row r="5">
      <c r="B5" s="8" t="inlineStr">
        <is>
          <t>Inputs</t>
        </is>
      </c>
      <c r="C5" s="9" t="n"/>
    </row>
    <row r="6">
      <c r="B6" s="4" t="inlineStr">
        <is>
          <t>Effect to detect  (delta)</t>
        </is>
      </c>
      <c r="C6" s="10" t="n">
        <v>5</v>
      </c>
      <c r="D6" s="7" t="inlineStr">
        <is>
          <t>the smallest difference worth finding — a clinical judgement, not a statistical one</t>
        </is>
      </c>
    </row>
    <row r="7">
      <c r="B7" s="4" t="inlineStr">
        <is>
          <t>Standard deviation  (sd)</t>
        </is>
      </c>
      <c r="C7" s="10" t="n">
        <v>25</v>
      </c>
      <c r="D7" s="7" t="inlineStr">
        <is>
          <t>from pilot data or the literature</t>
        </is>
      </c>
    </row>
    <row r="8">
      <c r="B8" s="4" t="inlineStr">
        <is>
          <t>Significance level  (alpha)</t>
        </is>
      </c>
      <c r="C8" s="11" t="n">
        <v>0.05</v>
      </c>
      <c r="D8" s="7" t="inlineStr">
        <is>
          <t>two-sided</t>
        </is>
      </c>
    </row>
    <row r="9">
      <c r="B9" s="4" t="inlineStr">
        <is>
          <t>Target power</t>
        </is>
      </c>
      <c r="C9" s="11" t="n">
        <v>0.8</v>
      </c>
      <c r="D9" s="7" t="inlineStr">
        <is>
          <t>0.80 is conventional; 0.90 for a confirmatory trial</t>
        </is>
      </c>
    </row>
    <row r="10"/>
    <row r="11">
      <c r="B11" s="8" t="inlineStr">
        <is>
          <t>Refinement</t>
        </is>
      </c>
      <c r="C11" s="8" t="inlineStr">
        <is>
          <t>n</t>
        </is>
      </c>
      <c r="D11" s="8" t="inlineStr">
        <is>
          <t>degrees of freedom used</t>
        </is>
      </c>
    </row>
    <row r="12">
      <c r="B12" s="4" t="inlineStr">
        <is>
          <t>start (normal)</t>
        </is>
      </c>
      <c r="C12" s="12">
        <f>(_xlfn.NORM.S.INV(1-$C$8/2)+_xlfn.NORM.S.INV($C$9))^2*$C$7^2/$C$6^2</f>
        <v/>
      </c>
      <c r="D12" s="7" t="inlineStr">
        <is>
          <t>no degrees of freedom yet — uses z</t>
        </is>
      </c>
    </row>
    <row r="13">
      <c r="B13" s="4" t="inlineStr">
        <is>
          <t>pass 1</t>
        </is>
      </c>
      <c r="C13" s="12">
        <f>(_xlfn.T.INV.2T($C$8,MAX(ROUND((C12-1)*1,0),1))+_xlfn.T.INV($C$9,MAX(ROUND((C12-1)*1,0),1)))^2*$C$7^2/$C$6^2</f>
        <v/>
      </c>
      <c r="D13" s="5">
        <f>MAX(ROUND((C12-1)*1,0),1)</f>
        <v/>
      </c>
    </row>
    <row r="14">
      <c r="B14" s="4" t="inlineStr">
        <is>
          <t>pass 2</t>
        </is>
      </c>
      <c r="C14" s="12">
        <f>(_xlfn.T.INV.2T($C$8,MAX(ROUND((C13-1)*1,0),1))+_xlfn.T.INV($C$9,MAX(ROUND((C13-1)*1,0),1)))^2*$C$7^2/$C$6^2</f>
        <v/>
      </c>
      <c r="D14" s="5">
        <f>MAX(ROUND((C13-1)*1,0),1)</f>
        <v/>
      </c>
    </row>
    <row r="15">
      <c r="B15" s="4" t="inlineStr">
        <is>
          <t>pass 3</t>
        </is>
      </c>
      <c r="C15" s="12">
        <f>(_xlfn.T.INV.2T($C$8,MAX(ROUND((C14-1)*1,0),1))+_xlfn.T.INV($C$9,MAX(ROUND((C14-1)*1,0),1)))^2*$C$7^2/$C$6^2</f>
        <v/>
      </c>
      <c r="D15" s="5">
        <f>MAX(ROUND((C14-1)*1,0),1)</f>
        <v/>
      </c>
    </row>
    <row r="16">
      <c r="B16" s="4" t="inlineStr">
        <is>
          <t>pass 4</t>
        </is>
      </c>
      <c r="C16" s="12">
        <f>(_xlfn.T.INV.2T($C$8,MAX(ROUND((C15-1)*1,0),1))+_xlfn.T.INV($C$9,MAX(ROUND((C15-1)*1,0),1)))^2*$C$7^2/$C$6^2</f>
        <v/>
      </c>
      <c r="D16" s="5">
        <f>MAX(ROUND((C15-1)*1,0),1)</f>
        <v/>
      </c>
    </row>
    <row r="17">
      <c r="B17" s="4" t="inlineStr">
        <is>
          <t>pass 5</t>
        </is>
      </c>
      <c r="C17" s="12">
        <f>(_xlfn.T.INV.2T($C$8,MAX(ROUND((C16-1)*1,0),1))+_xlfn.T.INV($C$9,MAX(ROUND((C16-1)*1,0),1)))^2*$C$7^2/$C$6^2</f>
        <v/>
      </c>
      <c r="D17" s="5">
        <f>MAX(ROUND((C16-1)*1,0),1)</f>
        <v/>
      </c>
    </row>
    <row r="18">
      <c r="B18" s="4" t="inlineStr">
        <is>
          <t>pass 6</t>
        </is>
      </c>
      <c r="C18" s="12">
        <f>(_xlfn.T.INV.2T($C$8,MAX(ROUND((C17-1)*1,0),1))+_xlfn.T.INV($C$9,MAX(ROUND((C17-1)*1,0),1)))^2*$C$7^2/$C$6^2</f>
        <v/>
      </c>
      <c r="D18" s="7" t="inlineStr">
        <is>
          <t>the value stops moving — that is the answer</t>
        </is>
      </c>
    </row>
    <row r="19"/>
    <row r="20">
      <c r="B20" s="3" t="inlineStr">
        <is>
          <t>Sample size (exact root)</t>
        </is>
      </c>
      <c r="C20" s="13">
        <f>C18</f>
        <v/>
      </c>
    </row>
    <row r="21">
      <c r="B21" s="3" t="inlineStr">
        <is>
          <t>PARTICIPANTS TO ENROL</t>
        </is>
      </c>
      <c r="C21" s="14">
        <f>ROUNDUP(C18,0)</f>
        <v/>
      </c>
      <c r="D21" s="7" t="inlineStr">
        <is>
          <t>always round up — rounding down loses power</t>
        </is>
      </c>
    </row>
    <row r="22"/>
    <row r="23">
      <c r="B23" s="7" t="inlineStr">
        <is>
          <t>R gives 198.1513, so 199. Same answer.</t>
        </is>
      </c>
    </row>
  </sheetData>
  <mergeCells count="1"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52" customWidth="1" min="4" max="4"/>
  </cols>
  <sheetData>
    <row r="1"/>
    <row r="2">
      <c r="B2" s="6" t="inlineStr">
        <is>
          <t>2.  One-sample t test — what power does the budget buy?</t>
        </is>
      </c>
    </row>
    <row r="3">
      <c r="B3" s="7" t="inlineStr">
        <is>
          <t>Same design, but recruitment is capped at 180. Solve for power instead of sample size.</t>
        </is>
      </c>
    </row>
    <row r="4"/>
    <row r="5">
      <c r="B5" s="3" t="inlineStr">
        <is>
          <t>Inputs</t>
        </is>
      </c>
    </row>
    <row r="6">
      <c r="B6" s="4" t="inlineStr">
        <is>
          <t>Sample size available  (n)</t>
        </is>
      </c>
      <c r="C6" s="10" t="n">
        <v>180</v>
      </c>
      <c r="D6" s="7" t="inlineStr">
        <is>
          <t>what the budget or the clinic will actually yield</t>
        </is>
      </c>
    </row>
    <row r="7">
      <c r="B7" s="4" t="inlineStr">
        <is>
          <t>Effect to detect  (delta)</t>
        </is>
      </c>
      <c r="C7" s="10" t="n">
        <v>5</v>
      </c>
    </row>
    <row r="8">
      <c r="B8" s="4" t="inlineStr">
        <is>
          <t>Standard deviation  (sd)</t>
        </is>
      </c>
      <c r="C8" s="10" t="n">
        <v>25</v>
      </c>
    </row>
    <row r="9">
      <c r="B9" s="4" t="inlineStr">
        <is>
          <t>Significance level  (alpha)</t>
        </is>
      </c>
      <c r="C9" s="11" t="n">
        <v>0.05</v>
      </c>
    </row>
    <row r="10"/>
    <row r="11">
      <c r="B11" s="3" t="inlineStr">
        <is>
          <t>Working</t>
        </is>
      </c>
    </row>
    <row r="12">
      <c r="B12" s="4" t="inlineStr">
        <is>
          <t>Standard error  sd/sqrt(n)</t>
        </is>
      </c>
      <c r="C12" s="15">
        <f>$C$8/SQRT($C$6)</f>
        <v/>
      </c>
    </row>
    <row r="13">
      <c r="B13" s="4" t="inlineStr">
        <is>
          <t>Noncentrality  delta/SE</t>
        </is>
      </c>
      <c r="C13" s="15">
        <f>$C$7/C12</f>
        <v/>
      </c>
      <c r="D13" s="7" t="inlineStr">
        <is>
          <t>how many standard errors the true effect sits from the null</t>
        </is>
      </c>
    </row>
    <row r="14">
      <c r="B14" s="4" t="inlineStr">
        <is>
          <t>Degrees of freedom  n-1</t>
        </is>
      </c>
      <c r="C14" s="16">
        <f>$C$6-1</f>
        <v/>
      </c>
    </row>
    <row r="15">
      <c r="B15" s="4" t="inlineStr">
        <is>
          <t>Critical value  t(alpha/2, df)</t>
        </is>
      </c>
      <c r="C15" s="15">
        <f>_xlfn.T.INV.2T($C$9,C14)</f>
        <v/>
      </c>
      <c r="D15" s="7" t="inlineStr">
        <is>
          <t>the threshold the test actually uses</t>
        </is>
      </c>
    </row>
    <row r="16"/>
    <row r="17">
      <c r="B17" s="3" t="inlineStr">
        <is>
          <t>POWER</t>
        </is>
      </c>
      <c r="C17" s="13">
        <f>1-_xlfn.T.DIST(C15-C13,C14,TRUE)</f>
        <v/>
      </c>
      <c r="D17" s="7" t="inlineStr">
        <is>
          <t>the chance this study finds the effect if it is really there</t>
        </is>
      </c>
    </row>
    <row r="18">
      <c r="B18" s="4" t="inlineStr">
        <is>
          <t>Type II error  (beta)</t>
        </is>
      </c>
      <c r="C18" s="17">
        <f>1-C17</f>
        <v/>
      </c>
      <c r="D18" s="7" t="inlineStr">
        <is>
          <t>the chance it misses</t>
        </is>
      </c>
    </row>
    <row r="19"/>
    <row r="20">
      <c r="B20" s="7" t="inlineStr">
        <is>
          <t>R gives 0.7608. This sheet gives 0.7607 — the approximation costs one ten-thousandth.</t>
        </is>
      </c>
    </row>
    <row r="21">
      <c r="B21" s="7" t="inlineStr">
        <is>
          <t>Below 0.80. Either enrol more people, accept a smaller power, or look for a larger effect.</t>
        </is>
      </c>
    </row>
  </sheetData>
  <mergeCells count="1">
    <mergeCell ref="B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52" customWidth="1" min="4" max="4"/>
  </cols>
  <sheetData>
    <row r="1"/>
    <row r="2">
      <c r="B2" s="6" t="inlineStr">
        <is>
          <t>3.  Two independent groups — unequal variances</t>
        </is>
      </c>
    </row>
    <row r="3">
      <c r="B3" s="7" t="inlineStr">
        <is>
          <t>The groups are not expected to vary equally: sd 15 and 18. Detect a difference of 10.</t>
        </is>
      </c>
    </row>
    <row r="4"/>
    <row r="5">
      <c r="B5" s="3" t="inlineStr">
        <is>
          <t>Inputs</t>
        </is>
      </c>
    </row>
    <row r="6">
      <c r="B6" s="4" t="inlineStr">
        <is>
          <t>Standard deviation, group 1</t>
        </is>
      </c>
      <c r="C6" s="10" t="n">
        <v>15</v>
      </c>
    </row>
    <row r="7">
      <c r="B7" s="4" t="inlineStr">
        <is>
          <t>Standard deviation, group 2</t>
        </is>
      </c>
      <c r="C7" s="10" t="n">
        <v>18</v>
      </c>
    </row>
    <row r="8">
      <c r="B8" s="4" t="inlineStr">
        <is>
          <t>Difference to detect  (delta)</t>
        </is>
      </c>
      <c r="C8" s="10" t="n">
        <v>10</v>
      </c>
    </row>
    <row r="9">
      <c r="B9" s="4" t="inlineStr">
        <is>
          <t>Significance level  (alpha)</t>
        </is>
      </c>
      <c r="C9" s="11" t="n">
        <v>0.05</v>
      </c>
    </row>
    <row r="10">
      <c r="B10" s="4" t="inlineStr">
        <is>
          <t>Target power</t>
        </is>
      </c>
      <c r="C10" s="11" t="n">
        <v>0.8</v>
      </c>
    </row>
    <row r="11"/>
    <row r="12">
      <c r="B12" s="3" t="inlineStr">
        <is>
          <t>Combined standard deviation</t>
        </is>
      </c>
      <c r="C12" s="15">
        <f>SQRT(($C$6^2+$C$7^2)/2)</f>
        <v/>
      </c>
      <c r="D12" s="7" t="inlineStr">
        <is>
          <t>the ROOT-MEAN-SQUARE of the two, not their average (16.5)</t>
        </is>
      </c>
    </row>
    <row r="13"/>
    <row r="14">
      <c r="B14" s="8" t="inlineStr">
        <is>
          <t>Refinement</t>
        </is>
      </c>
      <c r="C14" s="8" t="inlineStr">
        <is>
          <t>n</t>
        </is>
      </c>
      <c r="D14" s="8" t="inlineStr">
        <is>
          <t>degrees of freedom used</t>
        </is>
      </c>
    </row>
    <row r="15">
      <c r="B15" s="4" t="inlineStr">
        <is>
          <t>start (normal)</t>
        </is>
      </c>
      <c r="C15" s="12">
        <f>2*(_xlfn.NORM.S.INV(1-$C$9/2)+_xlfn.NORM.S.INV($C$10))^2*$C$12^2/$C$8^2</f>
        <v/>
      </c>
      <c r="D15" s="7" t="inlineStr">
        <is>
          <t>no degrees of freedom yet — uses z</t>
        </is>
      </c>
    </row>
    <row r="16">
      <c r="B16" s="4" t="inlineStr">
        <is>
          <t>pass 1</t>
        </is>
      </c>
      <c r="C16" s="12">
        <f>2*(_xlfn.T.INV.2T($C$9,MAX(ROUND((C15-1)*2,0),1))+_xlfn.T.INV($C$10,MAX(ROUND((C15-1)*2,0),1)))^2*$C$12^2/$C$8^2</f>
        <v/>
      </c>
      <c r="D16" s="5">
        <f>MAX(ROUND((C15-1)*2,0),1)</f>
        <v/>
      </c>
    </row>
    <row r="17">
      <c r="B17" s="4" t="inlineStr">
        <is>
          <t>pass 2</t>
        </is>
      </c>
      <c r="C17" s="12">
        <f>2*(_xlfn.T.INV.2T($C$9,MAX(ROUND((C16-1)*2,0),1))+_xlfn.T.INV($C$10,MAX(ROUND((C16-1)*2,0),1)))^2*$C$12^2/$C$8^2</f>
        <v/>
      </c>
      <c r="D17" s="5">
        <f>MAX(ROUND((C16-1)*2,0),1)</f>
        <v/>
      </c>
    </row>
    <row r="18">
      <c r="B18" s="4" t="inlineStr">
        <is>
          <t>pass 3</t>
        </is>
      </c>
      <c r="C18" s="12">
        <f>2*(_xlfn.T.INV.2T($C$9,MAX(ROUND((C17-1)*2,0),1))+_xlfn.T.INV($C$10,MAX(ROUND((C17-1)*2,0),1)))^2*$C$12^2/$C$8^2</f>
        <v/>
      </c>
      <c r="D18" s="5">
        <f>MAX(ROUND((C17-1)*2,0),1)</f>
        <v/>
      </c>
    </row>
    <row r="19">
      <c r="B19" s="4" t="inlineStr">
        <is>
          <t>pass 4</t>
        </is>
      </c>
      <c r="C19" s="12">
        <f>2*(_xlfn.T.INV.2T($C$9,MAX(ROUND((C18-1)*2,0),1))+_xlfn.T.INV($C$10,MAX(ROUND((C18-1)*2,0),1)))^2*$C$12^2/$C$8^2</f>
        <v/>
      </c>
      <c r="D19" s="5">
        <f>MAX(ROUND((C18-1)*2,0),1)</f>
        <v/>
      </c>
    </row>
    <row r="20">
      <c r="B20" s="4" t="inlineStr">
        <is>
          <t>pass 5</t>
        </is>
      </c>
      <c r="C20" s="12">
        <f>2*(_xlfn.T.INV.2T($C$9,MAX(ROUND((C19-1)*2,0),1))+_xlfn.T.INV($C$10,MAX(ROUND((C19-1)*2,0),1)))^2*$C$12^2/$C$8^2</f>
        <v/>
      </c>
      <c r="D20" s="5">
        <f>MAX(ROUND((C19-1)*2,0),1)</f>
        <v/>
      </c>
    </row>
    <row r="21">
      <c r="B21" s="4" t="inlineStr">
        <is>
          <t>pass 6</t>
        </is>
      </c>
      <c r="C21" s="12">
        <f>2*(_xlfn.T.INV.2T($C$9,MAX(ROUND((C20-1)*2,0),1))+_xlfn.T.INV($C$10,MAX(ROUND((C20-1)*2,0),1)))^2*$C$12^2/$C$8^2</f>
        <v/>
      </c>
      <c r="D21" s="7" t="inlineStr">
        <is>
          <t>the value stops moving — that is the answer</t>
        </is>
      </c>
    </row>
    <row r="22"/>
    <row r="23">
      <c r="B23" s="3" t="inlineStr">
        <is>
          <t>n per group (exact root)</t>
        </is>
      </c>
      <c r="C23" s="13">
        <f>C21</f>
        <v/>
      </c>
    </row>
    <row r="24">
      <c r="B24" s="3" t="inlineStr">
        <is>
          <t>ENROL PER GROUP</t>
        </is>
      </c>
      <c r="C24" s="14">
        <f>ROUNDUP(C21,0)</f>
        <v/>
      </c>
    </row>
    <row r="25">
      <c r="B25" s="3" t="inlineStr">
        <is>
          <t>TOTAL</t>
        </is>
      </c>
      <c r="C25" s="14">
        <f>2*C24</f>
        <v/>
      </c>
    </row>
    <row r="26"/>
    <row r="27">
      <c r="B27" s="7" t="inlineStr">
        <is>
          <t>R gives 44.0716, so 45 per group. Same answer.</t>
        </is>
      </c>
    </row>
  </sheetData>
  <mergeCells count="1">
    <mergeCell ref="B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52" customWidth="1" min="4" max="4"/>
  </cols>
  <sheetData>
    <row r="1"/>
    <row r="2">
      <c r="B2" s="6" t="inlineStr">
        <is>
          <t>4.  Two independent groups — equal variances</t>
        </is>
      </c>
    </row>
    <row r="3">
      <c r="B3" s="7" t="inlineStr">
        <is>
          <t>The same comparison assuming one common standard deviation of 17. Compare with sheet 3.</t>
        </is>
      </c>
    </row>
    <row r="4"/>
    <row r="5">
      <c r="B5" s="3" t="inlineStr">
        <is>
          <t>Inputs</t>
        </is>
      </c>
    </row>
    <row r="6">
      <c r="B6" s="4" t="inlineStr">
        <is>
          <t>Common standard deviation</t>
        </is>
      </c>
      <c r="C6" s="10" t="n">
        <v>17</v>
      </c>
    </row>
    <row r="7">
      <c r="B7" s="4" t="inlineStr">
        <is>
          <t>Difference to detect  (delta)</t>
        </is>
      </c>
      <c r="C7" s="10" t="n">
        <v>10</v>
      </c>
    </row>
    <row r="8">
      <c r="B8" s="4" t="inlineStr">
        <is>
          <t>Significance level  (alpha)</t>
        </is>
      </c>
      <c r="C8" s="11" t="n">
        <v>0.05</v>
      </c>
    </row>
    <row r="9">
      <c r="B9" s="4" t="inlineStr">
        <is>
          <t>Target power</t>
        </is>
      </c>
      <c r="C9" s="11" t="n">
        <v>0.8</v>
      </c>
    </row>
    <row r="10"/>
    <row r="11">
      <c r="B11" s="8" t="inlineStr">
        <is>
          <t>Refinement</t>
        </is>
      </c>
      <c r="C11" s="8" t="inlineStr">
        <is>
          <t>n</t>
        </is>
      </c>
      <c r="D11" s="8" t="inlineStr">
        <is>
          <t>degrees of freedom used</t>
        </is>
      </c>
    </row>
    <row r="12">
      <c r="B12" s="4" t="inlineStr">
        <is>
          <t>start (normal)</t>
        </is>
      </c>
      <c r="C12" s="12">
        <f>2*(_xlfn.NORM.S.INV(1-$C$8/2)+_xlfn.NORM.S.INV($C$9))^2*$C$6^2/$C$7^2</f>
        <v/>
      </c>
      <c r="D12" s="7" t="inlineStr">
        <is>
          <t>no degrees of freedom yet — uses z</t>
        </is>
      </c>
    </row>
    <row r="13">
      <c r="B13" s="4" t="inlineStr">
        <is>
          <t>pass 1</t>
        </is>
      </c>
      <c r="C13" s="12">
        <f>2*(_xlfn.T.INV.2T($C$8,MAX(ROUND((C12-1)*2,0),1))+_xlfn.T.INV($C$9,MAX(ROUND((C12-1)*2,0),1)))^2*$C$6^2/$C$7^2</f>
        <v/>
      </c>
      <c r="D13" s="5">
        <f>MAX(ROUND((C12-1)*2,0),1)</f>
        <v/>
      </c>
    </row>
    <row r="14">
      <c r="B14" s="4" t="inlineStr">
        <is>
          <t>pass 2</t>
        </is>
      </c>
      <c r="C14" s="12">
        <f>2*(_xlfn.T.INV.2T($C$8,MAX(ROUND((C13-1)*2,0),1))+_xlfn.T.INV($C$9,MAX(ROUND((C13-1)*2,0),1)))^2*$C$6^2/$C$7^2</f>
        <v/>
      </c>
      <c r="D14" s="5">
        <f>MAX(ROUND((C13-1)*2,0),1)</f>
        <v/>
      </c>
    </row>
    <row r="15">
      <c r="B15" s="4" t="inlineStr">
        <is>
          <t>pass 3</t>
        </is>
      </c>
      <c r="C15" s="12">
        <f>2*(_xlfn.T.INV.2T($C$8,MAX(ROUND((C14-1)*2,0),1))+_xlfn.T.INV($C$9,MAX(ROUND((C14-1)*2,0),1)))^2*$C$6^2/$C$7^2</f>
        <v/>
      </c>
      <c r="D15" s="5">
        <f>MAX(ROUND((C14-1)*2,0),1)</f>
        <v/>
      </c>
    </row>
    <row r="16">
      <c r="B16" s="4" t="inlineStr">
        <is>
          <t>pass 4</t>
        </is>
      </c>
      <c r="C16" s="12">
        <f>2*(_xlfn.T.INV.2T($C$8,MAX(ROUND((C15-1)*2,0),1))+_xlfn.T.INV($C$9,MAX(ROUND((C15-1)*2,0),1)))^2*$C$6^2/$C$7^2</f>
        <v/>
      </c>
      <c r="D16" s="5">
        <f>MAX(ROUND((C15-1)*2,0),1)</f>
        <v/>
      </c>
    </row>
    <row r="17">
      <c r="B17" s="4" t="inlineStr">
        <is>
          <t>pass 5</t>
        </is>
      </c>
      <c r="C17" s="12">
        <f>2*(_xlfn.T.INV.2T($C$8,MAX(ROUND((C16-1)*2,0),1))+_xlfn.T.INV($C$9,MAX(ROUND((C16-1)*2,0),1)))^2*$C$6^2/$C$7^2</f>
        <v/>
      </c>
      <c r="D17" s="5">
        <f>MAX(ROUND((C16-1)*2,0),1)</f>
        <v/>
      </c>
    </row>
    <row r="18">
      <c r="B18" s="4" t="inlineStr">
        <is>
          <t>pass 6</t>
        </is>
      </c>
      <c r="C18" s="12">
        <f>2*(_xlfn.T.INV.2T($C$8,MAX(ROUND((C17-1)*2,0),1))+_xlfn.T.INV($C$9,MAX(ROUND((C17-1)*2,0),1)))^2*$C$6^2/$C$7^2</f>
        <v/>
      </c>
      <c r="D18" s="7" t="inlineStr">
        <is>
          <t>the value stops moving — that is the answer</t>
        </is>
      </c>
    </row>
    <row r="19"/>
    <row r="20">
      <c r="B20" s="3" t="inlineStr">
        <is>
          <t>n per group (exact root)</t>
        </is>
      </c>
      <c r="C20" s="13">
        <f>C18</f>
        <v/>
      </c>
    </row>
    <row r="21">
      <c r="B21" s="3" t="inlineStr">
        <is>
          <t>ENROL PER GROUP</t>
        </is>
      </c>
      <c r="C21" s="14">
        <f>ROUNDUP(C18,0)</f>
        <v/>
      </c>
    </row>
    <row r="22">
      <c r="B22" s="3" t="inlineStr">
        <is>
          <t>TOTAL</t>
        </is>
      </c>
      <c r="C22" s="14">
        <f>2*C21</f>
        <v/>
      </c>
    </row>
    <row r="23"/>
    <row r="24">
      <c r="B24" s="7" t="inlineStr">
        <is>
          <t>R gives 46.3467, so 47 per group. Same answer.</t>
        </is>
      </c>
    </row>
    <row r="25">
      <c r="B25" s="7" t="inlineStr">
        <is>
          <t>Two more people per group than sheet 3, for a combined spread only half a unit larger.</t>
        </is>
      </c>
    </row>
  </sheetData>
  <mergeCells count="1">
    <mergeCell ref="B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52" customWidth="1" min="4" max="4"/>
  </cols>
  <sheetData>
    <row r="1"/>
    <row r="2">
      <c r="B2" s="6" t="inlineStr">
        <is>
          <t>5.  Paired t test — two measurements on the same person</t>
        </is>
      </c>
    </row>
    <row r="3">
      <c r="B3" s="7" t="inlineStr">
        <is>
          <t>Pairing helps exactly as much as the two measurements are correlated. That correlation has to be assumed.</t>
        </is>
      </c>
    </row>
    <row r="4"/>
    <row r="5">
      <c r="B5" s="3" t="inlineStr">
        <is>
          <t>Inputs</t>
        </is>
      </c>
    </row>
    <row r="6">
      <c r="B6" s="4" t="inlineStr">
        <is>
          <t>Standard deviation, measure 1</t>
        </is>
      </c>
      <c r="C6" s="10" t="n">
        <v>40</v>
      </c>
    </row>
    <row r="7">
      <c r="B7" s="4" t="inlineStr">
        <is>
          <t>Standard deviation, measure 2</t>
        </is>
      </c>
      <c r="C7" s="10" t="n">
        <v>32</v>
      </c>
    </row>
    <row r="8">
      <c r="B8" s="4" t="inlineStr">
        <is>
          <t>Correlation between them  (rho)</t>
        </is>
      </c>
      <c r="C8" s="11" t="n">
        <v>0.5</v>
      </c>
      <c r="D8" s="7" t="inlineStr">
        <is>
          <t>the assumption that matters most — see sheet 6</t>
        </is>
      </c>
    </row>
    <row r="9">
      <c r="B9" s="4" t="inlineStr">
        <is>
          <t>Difference to detect  (delta)</t>
        </is>
      </c>
      <c r="C9" s="10" t="n">
        <v>20</v>
      </c>
    </row>
    <row r="10">
      <c r="B10" s="4" t="inlineStr">
        <is>
          <t>Significance level  (alpha)</t>
        </is>
      </c>
      <c r="C10" s="11" t="n">
        <v>0.05</v>
      </c>
    </row>
    <row r="11">
      <c r="B11" s="4" t="inlineStr">
        <is>
          <t>Target power</t>
        </is>
      </c>
      <c r="C11" s="11" t="n">
        <v>0.8</v>
      </c>
    </row>
    <row r="12"/>
    <row r="13">
      <c r="B13" s="3" t="inlineStr">
        <is>
          <t>Standard deviation of the differences</t>
        </is>
      </c>
      <c r="C13" s="15">
        <f>SQRT($C$6^2+$C$7^2-2*$C$8*$C$6*$C$7)</f>
        <v/>
      </c>
      <c r="D13" s="7" t="inlineStr">
        <is>
          <t>shrinks as rho rises — this is the whole advantage of pairing</t>
        </is>
      </c>
    </row>
    <row r="14"/>
    <row r="15">
      <c r="B15" s="8" t="inlineStr">
        <is>
          <t>Refinement</t>
        </is>
      </c>
      <c r="C15" s="8" t="inlineStr">
        <is>
          <t>n</t>
        </is>
      </c>
      <c r="D15" s="8" t="inlineStr">
        <is>
          <t>degrees of freedom used</t>
        </is>
      </c>
    </row>
    <row r="16">
      <c r="B16" s="4" t="inlineStr">
        <is>
          <t>start (normal)</t>
        </is>
      </c>
      <c r="C16" s="12">
        <f>(_xlfn.NORM.S.INV(1-$C$10/2)+_xlfn.NORM.S.INV($C$11))^2*$C$13^2/$C$9^2</f>
        <v/>
      </c>
      <c r="D16" s="7" t="inlineStr">
        <is>
          <t>no degrees of freedom yet — uses z</t>
        </is>
      </c>
    </row>
    <row r="17">
      <c r="B17" s="4" t="inlineStr">
        <is>
          <t>pass 1</t>
        </is>
      </c>
      <c r="C17" s="12">
        <f>(_xlfn.T.INV.2T($C$10,MAX(ROUND((C16-1)*1,0),1))+_xlfn.T.INV($C$11,MAX(ROUND((C16-1)*1,0),1)))^2*$C$13^2/$C$9^2</f>
        <v/>
      </c>
      <c r="D17" s="5">
        <f>MAX(ROUND((C16-1)*1,0),1)</f>
        <v/>
      </c>
    </row>
    <row r="18">
      <c r="B18" s="4" t="inlineStr">
        <is>
          <t>pass 2</t>
        </is>
      </c>
      <c r="C18" s="12">
        <f>(_xlfn.T.INV.2T($C$10,MAX(ROUND((C17-1)*1,0),1))+_xlfn.T.INV($C$11,MAX(ROUND((C17-1)*1,0),1)))^2*$C$13^2/$C$9^2</f>
        <v/>
      </c>
      <c r="D18" s="5">
        <f>MAX(ROUND((C17-1)*1,0),1)</f>
        <v/>
      </c>
    </row>
    <row r="19">
      <c r="B19" s="4" t="inlineStr">
        <is>
          <t>pass 3</t>
        </is>
      </c>
      <c r="C19" s="12">
        <f>(_xlfn.T.INV.2T($C$10,MAX(ROUND((C18-1)*1,0),1))+_xlfn.T.INV($C$11,MAX(ROUND((C18-1)*1,0),1)))^2*$C$13^2/$C$9^2</f>
        <v/>
      </c>
      <c r="D19" s="5">
        <f>MAX(ROUND((C18-1)*1,0),1)</f>
        <v/>
      </c>
    </row>
    <row r="20">
      <c r="B20" s="4" t="inlineStr">
        <is>
          <t>pass 4</t>
        </is>
      </c>
      <c r="C20" s="12">
        <f>(_xlfn.T.INV.2T($C$10,MAX(ROUND((C19-1)*1,0),1))+_xlfn.T.INV($C$11,MAX(ROUND((C19-1)*1,0),1)))^2*$C$13^2/$C$9^2</f>
        <v/>
      </c>
      <c r="D20" s="5">
        <f>MAX(ROUND((C19-1)*1,0),1)</f>
        <v/>
      </c>
    </row>
    <row r="21">
      <c r="B21" s="4" t="inlineStr">
        <is>
          <t>pass 5</t>
        </is>
      </c>
      <c r="C21" s="12">
        <f>(_xlfn.T.INV.2T($C$10,MAX(ROUND((C20-1)*1,0),1))+_xlfn.T.INV($C$11,MAX(ROUND((C20-1)*1,0),1)))^2*$C$13^2/$C$9^2</f>
        <v/>
      </c>
      <c r="D21" s="5">
        <f>MAX(ROUND((C20-1)*1,0),1)</f>
        <v/>
      </c>
    </row>
    <row r="22">
      <c r="B22" s="4" t="inlineStr">
        <is>
          <t>pass 6</t>
        </is>
      </c>
      <c r="C22" s="12">
        <f>(_xlfn.T.INV.2T($C$10,MAX(ROUND((C21-1)*1,0),1))+_xlfn.T.INV($C$11,MAX(ROUND((C21-1)*1,0),1)))^2*$C$13^2/$C$9^2</f>
        <v/>
      </c>
      <c r="D22" s="7" t="inlineStr">
        <is>
          <t>the value stops moving — that is the answer</t>
        </is>
      </c>
    </row>
    <row r="23"/>
    <row r="24">
      <c r="B24" s="3" t="inlineStr">
        <is>
          <t>Pairs (exact root)</t>
        </is>
      </c>
      <c r="C24" s="13">
        <f>C22</f>
        <v/>
      </c>
    </row>
    <row r="25">
      <c r="B25" s="3" t="inlineStr">
        <is>
          <t>PAIRS TO ENROL</t>
        </is>
      </c>
      <c r="C25" s="14">
        <f>ROUNDUP(C22,0)</f>
        <v/>
      </c>
    </row>
    <row r="26"/>
    <row r="27">
      <c r="B27" s="7" t="inlineStr">
        <is>
          <t>R gives 28.3529, so 29 pairs. Same answer.</t>
        </is>
      </c>
    </row>
  </sheetData>
  <mergeCells count="1">
    <mergeCell ref="B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/>
    <row r="2">
      <c r="B2" s="6" t="inlineStr">
        <is>
          <t>6.  How much does the assumed correlation matter?</t>
        </is>
      </c>
    </row>
    <row r="3">
      <c r="B3" s="7" t="inlineStr">
        <is>
          <t>The same paired design at five values of rho. This is the sensitivity analysis a reviewer will ask for.</t>
        </is>
      </c>
    </row>
    <row r="4"/>
    <row r="5">
      <c r="B5" s="3" t="inlineStr">
        <is>
          <t>Fixed inputs</t>
        </is>
      </c>
    </row>
    <row r="6">
      <c r="B6" s="4" t="inlineStr">
        <is>
          <t>sd, measure 1</t>
        </is>
      </c>
      <c r="C6" s="10" t="n">
        <v>40</v>
      </c>
    </row>
    <row r="7">
      <c r="B7" s="4" t="inlineStr">
        <is>
          <t>sd, measure 2</t>
        </is>
      </c>
      <c r="C7" s="10" t="n">
        <v>32</v>
      </c>
    </row>
    <row r="8">
      <c r="B8" s="4" t="inlineStr">
        <is>
          <t>delta</t>
        </is>
      </c>
      <c r="C8" s="10" t="n">
        <v>20</v>
      </c>
    </row>
    <row r="9">
      <c r="B9" s="4" t="inlineStr">
        <is>
          <t>alpha</t>
        </is>
      </c>
      <c r="C9" s="11" t="n">
        <v>0.05</v>
      </c>
    </row>
    <row r="10">
      <c r="B10" s="4" t="inlineStr">
        <is>
          <t>power</t>
        </is>
      </c>
      <c r="C10" s="11" t="n">
        <v>0.8</v>
      </c>
    </row>
    <row r="11"/>
    <row r="12">
      <c r="B12" s="18" t="inlineStr">
        <is>
          <t>rho</t>
        </is>
      </c>
      <c r="C12" s="18" t="inlineStr">
        <is>
          <t>sd of differences</t>
        </is>
      </c>
      <c r="D12" s="18" t="inlineStr">
        <is>
          <t>start (z)</t>
        </is>
      </c>
      <c r="E12" s="18" t="inlineStr">
        <is>
          <t>pass 1</t>
        </is>
      </c>
      <c r="F12" s="18" t="inlineStr">
        <is>
          <t>pass 2</t>
        </is>
      </c>
      <c r="G12" s="18" t="inlineStr">
        <is>
          <t>pass 3</t>
        </is>
      </c>
      <c r="H12" s="18" t="inlineStr">
        <is>
          <t>PAIRS</t>
        </is>
      </c>
    </row>
    <row r="13">
      <c r="B13" s="19" t="n">
        <v>0</v>
      </c>
      <c r="C13" s="17">
        <f>SQRT($C$6^2+$C$7^2-2*B13*$C$6*$C$7)</f>
        <v/>
      </c>
      <c r="D13" s="17">
        <f>(_xlfn.NORM.S.INV(1-$C$9/2)+_xlfn.NORM.S.INV($C$10))^2*C13^2/$C$8^2</f>
        <v/>
      </c>
      <c r="E13" s="17">
        <f>(_xlfn.T.INV.2T($C$9,MAX(ROUND(D13-1,0),1))+_xlfn.T.INV($C$10,MAX(ROUND(D13-1,0),1)))^2*C13^2/$C$8^2</f>
        <v/>
      </c>
      <c r="F13" s="17">
        <f>(_xlfn.T.INV.2T($C$9,MAX(ROUND(E13-1,0),1))+_xlfn.T.INV($C$10,MAX(ROUND(E13-1,0),1)))^2*C13^2/$C$8^2</f>
        <v/>
      </c>
      <c r="G13" s="17">
        <f>(_xlfn.T.INV.2T($C$9,MAX(ROUND(F13-1,0),1))+_xlfn.T.INV($C$10,MAX(ROUND(F13-1,0),1)))^2*C13^2/$C$8^2</f>
        <v/>
      </c>
      <c r="H13" s="20">
        <f>ROUNDUP(G13,0)</f>
        <v/>
      </c>
    </row>
    <row r="14">
      <c r="B14" s="19" t="n">
        <v>0.3</v>
      </c>
      <c r="C14" s="17">
        <f>SQRT($C$6^2+$C$7^2-2*B14*$C$6*$C$7)</f>
        <v/>
      </c>
      <c r="D14" s="17">
        <f>(_xlfn.NORM.S.INV(1-$C$9/2)+_xlfn.NORM.S.INV($C$10))^2*C14^2/$C$8^2</f>
        <v/>
      </c>
      <c r="E14" s="17">
        <f>(_xlfn.T.INV.2T($C$9,MAX(ROUND(D14-1,0),1))+_xlfn.T.INV($C$10,MAX(ROUND(D14-1,0),1)))^2*C14^2/$C$8^2</f>
        <v/>
      </c>
      <c r="F14" s="17">
        <f>(_xlfn.T.INV.2T($C$9,MAX(ROUND(E14-1,0),1))+_xlfn.T.INV($C$10,MAX(ROUND(E14-1,0),1)))^2*C14^2/$C$8^2</f>
        <v/>
      </c>
      <c r="G14" s="17">
        <f>(_xlfn.T.INV.2T($C$9,MAX(ROUND(F14-1,0),1))+_xlfn.T.INV($C$10,MAX(ROUND(F14-1,0),1)))^2*C14^2/$C$8^2</f>
        <v/>
      </c>
      <c r="H14" s="20">
        <f>ROUNDUP(G14,0)</f>
        <v/>
      </c>
    </row>
    <row r="15">
      <c r="B15" s="19" t="n">
        <v>0.5</v>
      </c>
      <c r="C15" s="17">
        <f>SQRT($C$6^2+$C$7^2-2*B15*$C$6*$C$7)</f>
        <v/>
      </c>
      <c r="D15" s="17">
        <f>(_xlfn.NORM.S.INV(1-$C$9/2)+_xlfn.NORM.S.INV($C$10))^2*C15^2/$C$8^2</f>
        <v/>
      </c>
      <c r="E15" s="17">
        <f>(_xlfn.T.INV.2T($C$9,MAX(ROUND(D15-1,0),1))+_xlfn.T.INV($C$10,MAX(ROUND(D15-1,0),1)))^2*C15^2/$C$8^2</f>
        <v/>
      </c>
      <c r="F15" s="17">
        <f>(_xlfn.T.INV.2T($C$9,MAX(ROUND(E15-1,0),1))+_xlfn.T.INV($C$10,MAX(ROUND(E15-1,0),1)))^2*C15^2/$C$8^2</f>
        <v/>
      </c>
      <c r="G15" s="17">
        <f>(_xlfn.T.INV.2T($C$9,MAX(ROUND(F15-1,0),1))+_xlfn.T.INV($C$10,MAX(ROUND(F15-1,0),1)))^2*C15^2/$C$8^2</f>
        <v/>
      </c>
      <c r="H15" s="20">
        <f>ROUNDUP(G15,0)</f>
        <v/>
      </c>
    </row>
    <row r="16">
      <c r="B16" s="19" t="n">
        <v>0.7</v>
      </c>
      <c r="C16" s="17">
        <f>SQRT($C$6^2+$C$7^2-2*B16*$C$6*$C$7)</f>
        <v/>
      </c>
      <c r="D16" s="17">
        <f>(_xlfn.NORM.S.INV(1-$C$9/2)+_xlfn.NORM.S.INV($C$10))^2*C16^2/$C$8^2</f>
        <v/>
      </c>
      <c r="E16" s="17">
        <f>(_xlfn.T.INV.2T($C$9,MAX(ROUND(D16-1,0),1))+_xlfn.T.INV($C$10,MAX(ROUND(D16-1,0),1)))^2*C16^2/$C$8^2</f>
        <v/>
      </c>
      <c r="F16" s="17">
        <f>(_xlfn.T.INV.2T($C$9,MAX(ROUND(E16-1,0),1))+_xlfn.T.INV($C$10,MAX(ROUND(E16-1,0),1)))^2*C16^2/$C$8^2</f>
        <v/>
      </c>
      <c r="G16" s="17">
        <f>(_xlfn.T.INV.2T($C$9,MAX(ROUND(F16-1,0),1))+_xlfn.T.INV($C$10,MAX(ROUND(F16-1,0),1)))^2*C16^2/$C$8^2</f>
        <v/>
      </c>
      <c r="H16" s="20">
        <f>ROUNDUP(G16,0)</f>
        <v/>
      </c>
    </row>
    <row r="17">
      <c r="B17" s="19" t="n">
        <v>0.9</v>
      </c>
      <c r="C17" s="17">
        <f>SQRT($C$6^2+$C$7^2-2*B17*$C$6*$C$7)</f>
        <v/>
      </c>
      <c r="D17" s="17">
        <f>(_xlfn.NORM.S.INV(1-$C$9/2)+_xlfn.NORM.S.INV($C$10))^2*C17^2/$C$8^2</f>
        <v/>
      </c>
      <c r="E17" s="17">
        <f>(_xlfn.T.INV.2T($C$9,MAX(ROUND(D17-1,0),1))+_xlfn.T.INV($C$10,MAX(ROUND(D17-1,0),1)))^2*C17^2/$C$8^2</f>
        <v/>
      </c>
      <c r="F17" s="17">
        <f>(_xlfn.T.INV.2T($C$9,MAX(ROUND(E17-1,0),1))+_xlfn.T.INV($C$10,MAX(ROUND(E17-1,0),1)))^2*C17^2/$C$8^2</f>
        <v/>
      </c>
      <c r="G17" s="17">
        <f>(_xlfn.T.INV.2T($C$9,MAX(ROUND(F17-1,0),1))+_xlfn.T.INV($C$10,MAX(ROUND(F17-1,0),1)))^2*C17^2/$C$8^2</f>
        <v/>
      </c>
      <c r="H17" s="20">
        <f>ROUNDUP(G17,0)</f>
        <v/>
      </c>
    </row>
    <row r="18"/>
    <row r="19">
      <c r="B19" s="7" t="inlineStr">
        <is>
          <t>R gives 54, 39, 29, 19, 9. Same answers.</t>
        </is>
      </c>
    </row>
    <row r="20"/>
    <row r="21">
      <c r="B21" s="7" t="inlineStr">
        <is>
          <t>Read the last column downwards. Assuming rho = 0.7 when the truth is 0.3 leaves the study with 19 pairs</t>
        </is>
      </c>
    </row>
    <row r="22">
      <c r="B22" s="7" t="inlineStr">
        <is>
          <t>where it needed 39 — less than half the sample it required, and no way to tell from the data that</t>
        </is>
      </c>
    </row>
    <row r="23">
      <c r="B23" s="7" t="inlineStr">
        <is>
          <t>anything went wrong. When rho is uncertain, plan on the low end. A study that is larger than it</t>
        </is>
      </c>
    </row>
    <row r="24">
      <c r="B24" s="7" t="inlineStr">
        <is>
          <t>needed to be is an inefficiency; one that is smaller than it needed to be answers nothing.</t>
        </is>
      </c>
    </row>
  </sheetData>
  <mergeCells count="1">
    <mergeCell ref="B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/>
    <row r="2">
      <c r="B2" s="6" t="inlineStr">
        <is>
          <t>All five answers, and how close the approximation comes</t>
        </is>
      </c>
    </row>
    <row r="3">
      <c r="B3" s="7" t="inlineStr">
        <is>
          <t>The 'this workbook' column is live: it reads the other sheets. The 'R, SAS, SPSS, Python' column is typed in.</t>
        </is>
      </c>
    </row>
    <row r="4"/>
    <row r="5">
      <c r="B5" s="8" t="inlineStr">
        <is>
          <t>Calculation</t>
        </is>
      </c>
      <c r="C5" s="8" t="inlineStr">
        <is>
          <t>This workbook</t>
        </is>
      </c>
      <c r="D5" s="8" t="inlineStr">
        <is>
          <t>Exact</t>
        </is>
      </c>
      <c r="E5" s="8" t="inlineStr">
        <is>
          <t>Enrol</t>
        </is>
      </c>
      <c r="F5" s="8" t="inlineStr">
        <is>
          <t>Comment</t>
        </is>
      </c>
    </row>
    <row r="6">
      <c r="B6" s="4" t="inlineStr">
        <is>
          <t>1. One-sample, n</t>
        </is>
      </c>
      <c r="C6" s="17">
        <f>'1 One-sample n'!C20</f>
        <v/>
      </c>
      <c r="D6" s="17" t="n">
        <v>198.1513</v>
      </c>
      <c r="E6" s="20">
        <f>'1 One-sample n'!C21</f>
        <v/>
      </c>
      <c r="F6" s="7" t="inlineStr">
        <is>
          <t>199 either way</t>
        </is>
      </c>
    </row>
    <row r="7">
      <c r="B7" s="4" t="inlineStr">
        <is>
          <t>2. Power at n = 180</t>
        </is>
      </c>
      <c r="C7" s="17">
        <f>'2 Power at n'!C17</f>
        <v/>
      </c>
      <c r="D7" s="17" t="n">
        <v>0.7608</v>
      </c>
      <c r="F7" s="7" t="inlineStr">
        <is>
          <t>agrees to three decimals</t>
        </is>
      </c>
    </row>
    <row r="8">
      <c r="B8" s="4" t="inlineStr">
        <is>
          <t>3. Two-sample, sd 15 and 18</t>
        </is>
      </c>
      <c r="C8" s="17">
        <f>'3 Two-sample unequal'!C23</f>
        <v/>
      </c>
      <c r="D8" s="17" t="n">
        <v>44.0716</v>
      </c>
      <c r="E8" s="20">
        <f>'3 Two-sample unequal'!C24</f>
        <v/>
      </c>
      <c r="F8" s="7" t="inlineStr">
        <is>
          <t>45 per group either way</t>
        </is>
      </c>
    </row>
    <row r="9">
      <c r="B9" s="4" t="inlineStr">
        <is>
          <t>4. Two-sample, sd 17</t>
        </is>
      </c>
      <c r="C9" s="17">
        <f>'4 Two-sample equal'!C20</f>
        <v/>
      </c>
      <c r="D9" s="17" t="n">
        <v>46.3467</v>
      </c>
      <c r="E9" s="20">
        <f>'4 Two-sample equal'!C21</f>
        <v/>
      </c>
      <c r="F9" s="7" t="inlineStr">
        <is>
          <t>47 per group either way</t>
        </is>
      </c>
    </row>
    <row r="10">
      <c r="B10" s="4" t="inlineStr">
        <is>
          <t>5. Paired, rho = 0.5</t>
        </is>
      </c>
      <c r="C10" s="17">
        <f>'5 Paired'!C24</f>
        <v/>
      </c>
      <c r="D10" s="17" t="n">
        <v>28.3529</v>
      </c>
      <c r="E10" s="20">
        <f>'5 Paired'!C25</f>
        <v/>
      </c>
      <c r="F10" s="7" t="inlineStr">
        <is>
          <t>29 pairs either way</t>
        </is>
      </c>
    </row>
    <row r="11"/>
    <row r="12"/>
    <row r="13">
      <c r="B13" s="7" t="inlineStr">
        <is>
          <t>The two middle columns never differ by enough to change the number of people you would enrol.</t>
        </is>
      </c>
    </row>
    <row r="14">
      <c r="B14" s="4" t="inlineStr"/>
    </row>
    <row r="15">
      <c r="B15" s="7" t="inlineStr">
        <is>
          <t>That is the useful lesson. A power calculation is not a precision instrument and was never</t>
        </is>
      </c>
    </row>
    <row r="16">
      <c r="B16" s="7" t="inlineStr">
        <is>
          <t>meant to be one. Its output is dominated by the effect size you assumed, which is a clinical</t>
        </is>
      </c>
    </row>
    <row r="17">
      <c r="B17" s="7" t="inlineStr">
        <is>
          <t>judgement, and by the standard deviation you borrowed from somebody else's study. Arguing about</t>
        </is>
      </c>
    </row>
    <row r="18">
      <c r="B18" s="7" t="inlineStr">
        <is>
          <t>the fourth decimal place of the arithmetic while those two numbers are guesses is misplaced effort.</t>
        </is>
      </c>
    </row>
    <row r="19">
      <c r="B19" s="4" t="inlineStr"/>
    </row>
    <row r="20">
      <c r="B20" s="7" t="inlineStr">
        <is>
          <t>Report the assumptions. Report where they came from. Report what happens if they are wrong.</t>
        </is>
      </c>
    </row>
    <row r="21">
      <c r="B21" s="7" t="inlineStr">
        <is>
          <t>That is what sheet 6 is for, and it is what a reviewer actually reads.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2026-09-23T03:40:49Z</dcterms:created>
  <dcterms:modified xmlns:dcterms="http://purl.org/dc/terms/" xmlns:xsi="http://www.w3.org/2001/XMLSchema-instance" xsi:type="dcterms:W3CDTF">2026-09-23T03:40:49Z</dcterms:modified>
</cp:coreProperties>
</file>